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_ViSIT\Power Bi\Gantt Chart\"/>
    </mc:Choice>
  </mc:AlternateContent>
  <xr:revisionPtr revIDLastSave="0" documentId="13_ncr:1_{7694BBC0-6E1F-45B8-970D-A9D5CD8825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G2" i="1"/>
  <c r="I2" i="1" s="1"/>
  <c r="G3" i="1"/>
  <c r="I3" i="1" s="1"/>
  <c r="G13" i="1"/>
  <c r="I13" i="1" s="1"/>
  <c r="G14" i="1"/>
  <c r="I14" i="1" s="1"/>
  <c r="I10" i="1"/>
  <c r="E10" i="1"/>
  <c r="E3" i="1"/>
  <c r="E4" i="1"/>
  <c r="E5" i="1"/>
  <c r="E6" i="1"/>
  <c r="E7" i="1"/>
  <c r="E8" i="1"/>
  <c r="E9" i="1"/>
  <c r="E11" i="1"/>
  <c r="E12" i="1"/>
  <c r="E13" i="1"/>
  <c r="E14" i="1"/>
  <c r="E15" i="1"/>
  <c r="E16" i="1"/>
  <c r="E2" i="1"/>
  <c r="I16" i="1" l="1"/>
  <c r="G12" i="1"/>
  <c r="I12" i="1" s="1"/>
  <c r="G15" i="1"/>
  <c r="I15" i="1" s="1"/>
  <c r="G11" i="1"/>
  <c r="I11" i="1" s="1"/>
  <c r="G9" i="1"/>
  <c r="I9" i="1" s="1"/>
  <c r="G8" i="1"/>
  <c r="I8" i="1" s="1"/>
  <c r="G7" i="1"/>
  <c r="I7" i="1" s="1"/>
  <c r="G6" i="1"/>
  <c r="I6" i="1" s="1"/>
  <c r="G5" i="1"/>
  <c r="I5" i="1" s="1"/>
  <c r="G4" i="1"/>
  <c r="I4" i="1" s="1"/>
</calcChain>
</file>

<file path=xl/sharedStrings.xml><?xml version="1.0" encoding="utf-8"?>
<sst xmlns="http://schemas.openxmlformats.org/spreadsheetml/2006/main" count="56" uniqueCount="42">
  <si>
    <t>Task</t>
  </si>
  <si>
    <t>Project Name</t>
  </si>
  <si>
    <t>Start Date</t>
  </si>
  <si>
    <t>End Date</t>
  </si>
  <si>
    <t>Community Park Renovation</t>
  </si>
  <si>
    <t>School Building Expansion</t>
  </si>
  <si>
    <t>Residential Roof Replacement</t>
  </si>
  <si>
    <t>Site Preparation (Demolition, Grading)</t>
  </si>
  <si>
    <t>Playground Equipment Installation</t>
  </si>
  <si>
    <t>Landscaping &amp; Pathway Construction</t>
  </si>
  <si>
    <t>Park Furniture &amp; Amenities Installation</t>
  </si>
  <si>
    <t>Final Inspections &amp; Grand Opening (Optional)</t>
  </si>
  <si>
    <t>Foundation &amp; Slab Construction</t>
  </si>
  <si>
    <t>Framing &amp; Rough-In Work (Electrical, Plumbing, HVAC)</t>
  </si>
  <si>
    <t>Exterior Cladding &amp; Roofing</t>
  </si>
  <si>
    <t>Interior Finishing (Walls, Flooring, Ceilings)</t>
  </si>
  <si>
    <t>Equipment Installation &amp; Final Inspections</t>
  </si>
  <si>
    <t>Permitting &amp; Material Procurement</t>
  </si>
  <si>
    <t>Roof Tear-Off &amp; Debris Removal (Per Roof)</t>
  </si>
  <si>
    <t>Underlayment &amp; Shingle Installation (Per Roof)</t>
  </si>
  <si>
    <t>Final Inspections &amp; Clean Up (Per Roof)</t>
  </si>
  <si>
    <t>Progress</t>
  </si>
  <si>
    <t>Start to End</t>
  </si>
  <si>
    <t>Start to Today</t>
  </si>
  <si>
    <t>Resource</t>
  </si>
  <si>
    <t>Adam</t>
  </si>
  <si>
    <t>Jack</t>
  </si>
  <si>
    <t>John</t>
  </si>
  <si>
    <t>David</t>
  </si>
  <si>
    <t>Sara</t>
  </si>
  <si>
    <t>Samuel</t>
  </si>
  <si>
    <t>Ron</t>
  </si>
  <si>
    <t>Joseph</t>
  </si>
  <si>
    <t>Harry</t>
  </si>
  <si>
    <t>Hanna</t>
  </si>
  <si>
    <t>Kate</t>
  </si>
  <si>
    <t>Irvin</t>
  </si>
  <si>
    <t>Leo</t>
  </si>
  <si>
    <t>Marry</t>
  </si>
  <si>
    <t>Status</t>
  </si>
  <si>
    <t>Milestone</t>
  </si>
  <si>
    <t>Exterior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</si>
</sst>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00_);_(* \(#,##0.000\);_(* &quot;-&quot;??_);_(@_)"/>
    <numFmt numFmtId="166" formatCode="[$-409]m/d/yy\ h:mm\ AM/P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4" fontId="0" fillId="0" borderId="0" xfId="0" applyNumberFormat="1"/>
    <xf numFmtId="165" fontId="2" fillId="0" borderId="0" xfId="1" applyNumberFormat="1" applyFont="1"/>
    <xf numFmtId="165" fontId="0" fillId="0" borderId="0" xfId="1" applyNumberFormat="1" applyFont="1"/>
    <xf numFmtId="166" fontId="2" fillId="0" borderId="0" xfId="0" applyNumberFormat="1" applyFont="1"/>
    <xf numFmtId="166" fontId="0" fillId="0" borderId="0" xfId="0" applyNumberFormat="1"/>
    <xf numFmtId="0" fontId="2" fillId="0" borderId="0" xfId="0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25.88671875" bestFit="1" customWidth="1"/>
    <col min="2" max="2" width="47.5546875" bestFit="1" customWidth="1"/>
    <col min="3" max="4" width="15.88671875" style="6" bestFit="1" customWidth="1"/>
    <col min="5" max="5" width="10.88671875" bestFit="1" customWidth="1"/>
    <col min="6" max="6" width="12.88671875" style="8" bestFit="1" customWidth="1"/>
    <col min="7" max="7" width="9.44140625" style="4" bestFit="1" customWidth="1"/>
    <col min="9" max="9" width="10.44140625" bestFit="1" customWidth="1"/>
    <col min="10" max="10" width="12.21875" bestFit="1" customWidth="1"/>
  </cols>
  <sheetData>
    <row r="1" spans="1:10" s="1" customFormat="1" x14ac:dyDescent="0.3">
      <c r="A1" s="1" t="s">
        <v>1</v>
      </c>
      <c r="B1" s="1" t="s">
        <v>0</v>
      </c>
      <c r="C1" s="5" t="s">
        <v>2</v>
      </c>
      <c r="D1" s="5" t="s">
        <v>3</v>
      </c>
      <c r="E1" s="1" t="s">
        <v>22</v>
      </c>
      <c r="F1" s="7" t="s">
        <v>23</v>
      </c>
      <c r="G1" s="3" t="s">
        <v>21</v>
      </c>
      <c r="H1" s="1" t="s">
        <v>24</v>
      </c>
      <c r="I1" s="1" t="s">
        <v>39</v>
      </c>
      <c r="J1" s="1" t="s">
        <v>40</v>
      </c>
    </row>
    <row r="2" spans="1:10" x14ac:dyDescent="0.3">
      <c r="A2" t="s">
        <v>4</v>
      </c>
      <c r="B2" t="s">
        <v>7</v>
      </c>
      <c r="C2" s="6">
        <v>45383</v>
      </c>
      <c r="D2" s="6">
        <v>45394</v>
      </c>
      <c r="E2">
        <f t="shared" ref="E2:E16" si="0">D2-C2</f>
        <v>11</v>
      </c>
      <c r="F2" s="8">
        <f>DATE(2024,5,8)-C2</f>
        <v>37</v>
      </c>
      <c r="G2" s="4">
        <f>MAX(MIN(1,F2/E2),0)</f>
        <v>1</v>
      </c>
      <c r="H2" t="s">
        <v>25</v>
      </c>
      <c r="I2" t="str">
        <f>IF(G2=1,"Complete",IF(G2=0,"Not Started","In Process"))</f>
        <v>Complete</v>
      </c>
    </row>
    <row r="3" spans="1:10" x14ac:dyDescent="0.3">
      <c r="A3" t="s">
        <v>4</v>
      </c>
      <c r="B3" t="s">
        <v>8</v>
      </c>
      <c r="C3" s="6">
        <v>45394</v>
      </c>
      <c r="D3" s="6">
        <v>45401</v>
      </c>
      <c r="E3">
        <f t="shared" si="0"/>
        <v>7</v>
      </c>
      <c r="F3" s="8">
        <f t="shared" ref="F3:F16" si="1">DATE(2024,5,8)-C3</f>
        <v>26</v>
      </c>
      <c r="G3" s="4">
        <f t="shared" ref="G3:G15" si="2">MAX(MIN(1,F3/E3),0)</f>
        <v>1</v>
      </c>
      <c r="H3" t="s">
        <v>26</v>
      </c>
      <c r="I3" t="str">
        <f t="shared" ref="I3:I16" si="3">IF(G3=1,"Complete",IF(G3=0,"Not Started","In Process"))</f>
        <v>Complete</v>
      </c>
    </row>
    <row r="4" spans="1:10" x14ac:dyDescent="0.3">
      <c r="A4" t="s">
        <v>4</v>
      </c>
      <c r="B4" t="s">
        <v>9</v>
      </c>
      <c r="C4" s="6">
        <v>45401</v>
      </c>
      <c r="D4" s="6">
        <v>45407</v>
      </c>
      <c r="E4">
        <f t="shared" si="0"/>
        <v>6</v>
      </c>
      <c r="F4" s="8">
        <f t="shared" si="1"/>
        <v>19</v>
      </c>
      <c r="G4" s="4">
        <f t="shared" si="2"/>
        <v>1</v>
      </c>
      <c r="H4" t="s">
        <v>27</v>
      </c>
      <c r="I4" t="str">
        <f t="shared" si="3"/>
        <v>Complete</v>
      </c>
    </row>
    <row r="5" spans="1:10" x14ac:dyDescent="0.3">
      <c r="A5" t="s">
        <v>4</v>
      </c>
      <c r="B5" t="s">
        <v>10</v>
      </c>
      <c r="C5" s="6">
        <v>45407</v>
      </c>
      <c r="D5" s="6">
        <v>45416</v>
      </c>
      <c r="E5">
        <f t="shared" si="0"/>
        <v>9</v>
      </c>
      <c r="F5" s="8">
        <f t="shared" si="1"/>
        <v>13</v>
      </c>
      <c r="G5" s="4">
        <f t="shared" si="2"/>
        <v>1</v>
      </c>
      <c r="H5" t="s">
        <v>28</v>
      </c>
      <c r="I5" t="str">
        <f t="shared" si="3"/>
        <v>Complete</v>
      </c>
    </row>
    <row r="6" spans="1:10" x14ac:dyDescent="0.3">
      <c r="A6" t="s">
        <v>4</v>
      </c>
      <c r="B6" t="s">
        <v>11</v>
      </c>
      <c r="C6" s="6">
        <v>45416</v>
      </c>
      <c r="D6" s="6">
        <v>45428</v>
      </c>
      <c r="E6">
        <f t="shared" si="0"/>
        <v>12</v>
      </c>
      <c r="F6" s="8">
        <f t="shared" si="1"/>
        <v>4</v>
      </c>
      <c r="G6" s="4">
        <f t="shared" si="2"/>
        <v>0.33333333333333331</v>
      </c>
      <c r="H6" t="s">
        <v>29</v>
      </c>
      <c r="I6" t="str">
        <f t="shared" si="3"/>
        <v>In Process</v>
      </c>
    </row>
    <row r="7" spans="1:10" x14ac:dyDescent="0.3">
      <c r="A7" t="s">
        <v>5</v>
      </c>
      <c r="B7" t="s">
        <v>12</v>
      </c>
      <c r="C7" s="6">
        <v>45392</v>
      </c>
      <c r="D7" s="6">
        <v>45402</v>
      </c>
      <c r="E7">
        <f t="shared" si="0"/>
        <v>10</v>
      </c>
      <c r="F7" s="8">
        <f t="shared" si="1"/>
        <v>28</v>
      </c>
      <c r="G7" s="4">
        <f t="shared" si="2"/>
        <v>1</v>
      </c>
      <c r="H7" t="s">
        <v>30</v>
      </c>
      <c r="I7" t="str">
        <f t="shared" si="3"/>
        <v>Complete</v>
      </c>
    </row>
    <row r="8" spans="1:10" x14ac:dyDescent="0.3">
      <c r="A8" t="s">
        <v>5</v>
      </c>
      <c r="B8" t="s">
        <v>13</v>
      </c>
      <c r="C8" s="6">
        <v>45402</v>
      </c>
      <c r="D8" s="6">
        <v>45410</v>
      </c>
      <c r="E8">
        <f t="shared" si="0"/>
        <v>8</v>
      </c>
      <c r="F8" s="8">
        <f t="shared" si="1"/>
        <v>18</v>
      </c>
      <c r="G8" s="4">
        <f t="shared" si="2"/>
        <v>1</v>
      </c>
      <c r="H8" t="s">
        <v>31</v>
      </c>
      <c r="I8" t="str">
        <f t="shared" si="3"/>
        <v>Complete</v>
      </c>
    </row>
    <row r="9" spans="1:10" x14ac:dyDescent="0.3">
      <c r="A9" t="s">
        <v>5</v>
      </c>
      <c r="B9" t="s">
        <v>14</v>
      </c>
      <c r="C9" s="6">
        <v>45410</v>
      </c>
      <c r="D9" s="6">
        <v>45420</v>
      </c>
      <c r="E9">
        <f t="shared" si="0"/>
        <v>10</v>
      </c>
      <c r="F9" s="8">
        <f t="shared" si="1"/>
        <v>10</v>
      </c>
      <c r="G9" s="4">
        <f t="shared" si="2"/>
        <v>1</v>
      </c>
      <c r="H9" t="s">
        <v>32</v>
      </c>
      <c r="I9" t="str">
        <f t="shared" si="3"/>
        <v>Complete</v>
      </c>
      <c r="J9" s="2"/>
    </row>
    <row r="10" spans="1:10" x14ac:dyDescent="0.3">
      <c r="A10" t="s">
        <v>5</v>
      </c>
      <c r="B10" t="s">
        <v>14</v>
      </c>
      <c r="C10" s="6">
        <v>45420</v>
      </c>
      <c r="D10" s="6">
        <v>45420</v>
      </c>
      <c r="E10">
        <f t="shared" si="0"/>
        <v>0</v>
      </c>
      <c r="F10" s="8">
        <f t="shared" si="1"/>
        <v>0</v>
      </c>
      <c r="G10" s="4">
        <v>1</v>
      </c>
      <c r="H10" t="s">
        <v>32</v>
      </c>
      <c r="I10" t="str">
        <f t="shared" ref="I10" si="4">IF(G10=1,"Complete",IF(G10=0,"Not Started","In Process"))</f>
        <v>Complete</v>
      </c>
      <c r="J10" s="2" t="s">
        <v>41</v>
      </c>
    </row>
    <row r="11" spans="1:10" x14ac:dyDescent="0.3">
      <c r="A11" t="s">
        <v>5</v>
      </c>
      <c r="B11" t="s">
        <v>15</v>
      </c>
      <c r="C11" s="6">
        <v>45420</v>
      </c>
      <c r="D11" s="6">
        <v>45429</v>
      </c>
      <c r="E11">
        <f t="shared" si="0"/>
        <v>9</v>
      </c>
      <c r="F11" s="8">
        <f t="shared" si="1"/>
        <v>0</v>
      </c>
      <c r="G11" s="4">
        <f t="shared" si="2"/>
        <v>0</v>
      </c>
      <c r="H11" t="s">
        <v>33</v>
      </c>
      <c r="I11" t="str">
        <f t="shared" si="3"/>
        <v>Not Started</v>
      </c>
    </row>
    <row r="12" spans="1:10" x14ac:dyDescent="0.3">
      <c r="A12" t="s">
        <v>5</v>
      </c>
      <c r="B12" t="s">
        <v>16</v>
      </c>
      <c r="C12" s="6">
        <v>45429</v>
      </c>
      <c r="D12" s="6">
        <v>45437</v>
      </c>
      <c r="E12">
        <f t="shared" si="0"/>
        <v>8</v>
      </c>
      <c r="F12" s="8">
        <f t="shared" si="1"/>
        <v>-9</v>
      </c>
      <c r="G12" s="4">
        <f t="shared" si="2"/>
        <v>0</v>
      </c>
      <c r="H12" t="s">
        <v>34</v>
      </c>
      <c r="I12" t="str">
        <f t="shared" si="3"/>
        <v>Not Started</v>
      </c>
    </row>
    <row r="13" spans="1:10" x14ac:dyDescent="0.3">
      <c r="A13" t="s">
        <v>6</v>
      </c>
      <c r="B13" t="s">
        <v>17</v>
      </c>
      <c r="C13" s="6">
        <v>45397</v>
      </c>
      <c r="D13" s="6">
        <v>45410</v>
      </c>
      <c r="E13">
        <f t="shared" si="0"/>
        <v>13</v>
      </c>
      <c r="F13" s="8">
        <f t="shared" si="1"/>
        <v>23</v>
      </c>
      <c r="G13" s="4">
        <f t="shared" si="2"/>
        <v>1</v>
      </c>
      <c r="H13" t="s">
        <v>35</v>
      </c>
      <c r="I13" t="str">
        <f t="shared" si="3"/>
        <v>Complete</v>
      </c>
    </row>
    <row r="14" spans="1:10" x14ac:dyDescent="0.3">
      <c r="A14" t="s">
        <v>6</v>
      </c>
      <c r="B14" t="s">
        <v>18</v>
      </c>
      <c r="C14" s="6">
        <v>45410</v>
      </c>
      <c r="D14" s="6">
        <v>45423</v>
      </c>
      <c r="E14">
        <f t="shared" si="0"/>
        <v>13</v>
      </c>
      <c r="F14" s="8">
        <f t="shared" si="1"/>
        <v>10</v>
      </c>
      <c r="G14" s="4">
        <f t="shared" si="2"/>
        <v>0.76923076923076927</v>
      </c>
      <c r="H14" t="s">
        <v>36</v>
      </c>
      <c r="I14" t="str">
        <f t="shared" si="3"/>
        <v>In Process</v>
      </c>
    </row>
    <row r="15" spans="1:10" x14ac:dyDescent="0.3">
      <c r="A15" t="s">
        <v>6</v>
      </c>
      <c r="B15" t="s">
        <v>19</v>
      </c>
      <c r="C15" s="6">
        <v>45423</v>
      </c>
      <c r="D15" s="6">
        <v>45436</v>
      </c>
      <c r="E15">
        <f t="shared" si="0"/>
        <v>13</v>
      </c>
      <c r="F15" s="8">
        <f t="shared" si="1"/>
        <v>-3</v>
      </c>
      <c r="G15" s="4">
        <f t="shared" si="2"/>
        <v>0</v>
      </c>
      <c r="H15" t="s">
        <v>37</v>
      </c>
      <c r="I15" t="str">
        <f t="shared" si="3"/>
        <v>Not Started</v>
      </c>
    </row>
    <row r="16" spans="1:10" x14ac:dyDescent="0.3">
      <c r="A16" t="s">
        <v>6</v>
      </c>
      <c r="B16" t="s">
        <v>20</v>
      </c>
      <c r="C16" s="6">
        <v>45436.25</v>
      </c>
      <c r="D16" s="6">
        <v>45436.708333333336</v>
      </c>
      <c r="E16">
        <f t="shared" si="0"/>
        <v>0.45833333333575865</v>
      </c>
      <c r="F16" s="8">
        <f t="shared" si="1"/>
        <v>-16.25</v>
      </c>
      <c r="G16" s="4">
        <v>1</v>
      </c>
      <c r="H16" t="s">
        <v>38</v>
      </c>
      <c r="I16" t="str">
        <f t="shared" si="3"/>
        <v>Complete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</dc:creator>
  <cp:lastModifiedBy>S L</cp:lastModifiedBy>
  <dcterms:created xsi:type="dcterms:W3CDTF">2015-06-05T18:17:20Z</dcterms:created>
  <dcterms:modified xsi:type="dcterms:W3CDTF">2025-04-02T13:11:15Z</dcterms:modified>
</cp:coreProperties>
</file>